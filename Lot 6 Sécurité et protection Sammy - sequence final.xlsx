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" sheetId="1" state="visible" r:id="rId2"/>
    <sheet name="in" sheetId="2" state="visible" r:id="rId3"/>
    <sheet name="pos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<sst xmlns="http://schemas.openxmlformats.org/spreadsheetml/2006/main" count="214" uniqueCount="168">
  <si>
    <t xml:space="preserve">Numéro de la partie</t>
  </si>
  <si>
    <t xml:space="preserve">Titre de la séquence</t>
  </si>
  <si>
    <t xml:space="preserve">Objectif pédagogique</t>
  </si>
  <si>
    <t xml:space="preserve">Contenu proposé</t>
  </si>
  <si>
    <t xml:space="preserve">Activité apprenant</t>
  </si>
  <si>
    <t xml:space="preserve">Format</t>
  </si>
  <si>
    <t xml:space="preserve">Durée estimée pour l'apprenant</t>
  </si>
  <si>
    <t xml:space="preserve">Chapitre 0</t>
  </si>
  <si>
    <t xml:space="preserve">Introduction de la formation</t>
  </si>
  <si>
    <t xml:space="preserve">Présentation du formateur, contexte et acquis à la fin</t>
  </si>
  <si>
    <t xml:space="preserve">Vidéo tutorielle + fiche PDF</t>
  </si>
  <si>
    <t xml:space="preserve">Quiz de reformulation</t>
  </si>
  <si>
    <t xml:space="preserve">E-learning (vidéo)</t>
  </si>
  <si>
    <t xml:space="preserve">Présentation des objectifs (4–5 objectifs SMART (&amp; sharp/accroches)</t>
  </si>
  <si>
    <t xml:space="preserve">Présenter objectifs</t>
  </si>
  <si>
    <t xml:space="preserve">Liste des objectifs SMART</t>
  </si>
  <si>
    <t xml:space="preserve">Lire</t>
  </si>
  <si>
    <t xml:space="preserve">E-learning (texte)</t>
  </si>
  <si>
    <t xml:space="preserve">Glossaire </t>
  </si>
  <si>
    <t xml:space="preserve">Vulgariser le vobulaire technique</t>
  </si>
  <si>
    <t xml:space="preserve">Texte (Pdf)</t>
  </si>
  <si>
    <t xml:space="preserve">Texte</t>
  </si>
  <si>
    <t xml:space="preserve">Test de positionnement</t>
  </si>
  <si>
    <t xml:space="preserve">Evaluer les connaissances initiales sur la thématique</t>
  </si>
  <si>
    <t xml:space="preserve">Quizz</t>
  </si>
  <si>
    <t xml:space="preserve">10 questions</t>
  </si>
  <si>
    <t xml:space="preserve">Chapitre 1 : Introduction</t>
  </si>
  <si>
    <t xml:space="preserve">15 /05 : Grille de séquence pédagogique finalisé</t>
  </si>
  <si>
    <t xml:space="preserve">Enjeux &amp; définitions de la cybersécurité</t>
  </si>
  <si>
    <t xml:space="preserve">Comprendre pourquoi la cybersécurité est cruciale</t>
  </si>
  <si>
    <t xml:space="preserve">Module vidéo + cas résumé</t>
  </si>
  <si>
    <t xml:space="preserve">Vidéo 5 mins</t>
  </si>
  <si>
    <t xml:space="preserve">Notions de base : malware, phishing, pare-feu</t>
  </si>
  <si>
    <t xml:space="preserve">Définir et distinguer ces trois concepts</t>
  </si>
  <si>
    <t xml:space="preserve">Texte + image + schéma</t>
  </si>
  <si>
    <t xml:space="preserve">27/05 : Chapitre 1 finalisé</t>
  </si>
  <si>
    <t xml:space="preserve">Différents phishing qu'on peut rencontrer </t>
  </si>
  <si>
    <t xml:space="preserve">Connaître les différentes phishing</t>
  </si>
  <si>
    <t xml:space="preserve">Panorama</t>
  </si>
  <si>
    <t xml:space="preserve">1 fiche 1 phishing</t>
  </si>
  <si>
    <t xml:space="preserve">Types de menaces : physique vs virtuelle</t>
  </si>
  <si>
    <t xml:space="preserve">Différencier menaces physiques et informatiques</t>
  </si>
  <si>
    <t xml:space="preserve">Diaporama commenté</t>
  </si>
  <si>
    <t xml:space="preserve">A retenir</t>
  </si>
  <si>
    <t xml:space="preserve">Chapitre 0 à 3 inclus : 16/06</t>
  </si>
  <si>
    <t xml:space="preserve">Chapitre 2 : Outils &amp; pratiques initiales (65 min)</t>
  </si>
  <si>
    <t xml:space="preserve">Fonctionnement des antivirus</t>
  </si>
  <si>
    <t xml:space="preserve">Comprendre le rôle et le mécanisme d'un antivirus</t>
  </si>
  <si>
    <t xml:space="preserve">Diaporama + PDF résumé</t>
  </si>
  <si>
    <t xml:space="preserve">E-learning (interactif)</t>
  </si>
  <si>
    <t xml:space="preserve">Choisir un antivirus gratuit / payant / freemium</t>
  </si>
  <si>
    <t xml:space="preserve">Comparer avantages et limites des versions gratuites et payantes.</t>
  </si>
  <si>
    <t xml:space="preserve">Tableau comparatif</t>
  </si>
  <si>
    <t xml:space="preserve">Comment choisir un mot de passe? (Exemple) </t>
  </si>
  <si>
    <t xml:space="preserve">Différencier les mots de passe par qualite</t>
  </si>
  <si>
    <t xml:space="preserve">Texte + quizz</t>
  </si>
  <si>
    <t xml:space="preserve">Jeu association</t>
  </si>
  <si>
    <t xml:space="preserve">Logiciel de mot de passe et générateur de mot de passe</t>
  </si>
  <si>
    <t xml:space="preserve">Appliquer les bonnes pratiques de création et stockage</t>
  </si>
  <si>
    <t xml:space="preserve">Tutoriel pas-à-pas + sélection d'outils</t>
  </si>
  <si>
    <t xml:space="preserve">Exercice de création</t>
  </si>
  <si>
    <t xml:space="preserve">Chapitre 3 : Outils supplémentaires </t>
  </si>
  <si>
    <t xml:space="preserve">Présentation l'authentification à 2 facteurs</t>
  </si>
  <si>
    <t xml:space="preserve">Installer et tester un 2FA sur site existant</t>
  </si>
  <si>
    <t xml:space="preserve">Texte + Panorama</t>
  </si>
  <si>
    <t xml:space="preserve">Tuto ITSME</t>
  </si>
  <si>
    <t xml:space="preserve">Navigation sécurisée (HTTPS, plugins)</t>
  </si>
  <si>
    <t xml:space="preserve">Installer et tester un plugin de blocage de publicités ou de scripts.</t>
  </si>
  <si>
    <t xml:space="preserve">Vidéo démo + captures d'écran</t>
  </si>
  <si>
    <t xml:space="preserve">TP guidé sur poste</t>
  </si>
  <si>
    <t xml:space="preserve">Malwarebyt, peariform (logiciel de nettoyage)</t>
  </si>
  <si>
    <t xml:space="preserve">Réaliser un nettoyage complet d’un poste "infecté" à l’aide de Malwarebytes.</t>
  </si>
  <si>
    <t xml:space="preserve">Guide pas-à-pas + démo vidéo</t>
  </si>
  <si>
    <t xml:space="preserve">Exercice de nettoyage simulé</t>
  </si>
  <si>
    <t xml:space="preserve">Chapitre 4 : Bonnes pratiques</t>
  </si>
  <si>
    <t xml:space="preserve">Mesures préventives liées à la cyberscurité physique </t>
  </si>
  <si>
    <t xml:space="preserve">Lister au moins cinq mesures de sécurité physique (verrouillage, accès,…).</t>
  </si>
  <si>
    <t xml:space="preserve">Diaporama + vidéos courtes</t>
  </si>
  <si>
    <t xml:space="preserve">Étude de cas + restitution orale</t>
  </si>
  <si>
    <t xml:space="preserve">Surfer en securite</t>
  </si>
  <si>
    <t xml:space="preserve">Liste de conduites sécure pour surfer sur internet (Pop up, téléchargement sur site chelou)</t>
  </si>
  <si>
    <t xml:space="preserve">Fiche pratique + démonstration nav.</t>
  </si>
  <si>
    <t xml:space="preserve">Exercice de navigation guidé</t>
  </si>
  <si>
    <t xml:space="preserve">Organiser sa protection (Checklist périodique)</t>
  </si>
  <si>
    <t xml:space="preserve">Disposer d'une checklist à suivre régulièrement</t>
  </si>
  <si>
    <t xml:space="preserve">Fichier Excel modèle + tutoriel</t>
  </si>
  <si>
    <t xml:space="preserve">Personnalisation de la checklist</t>
  </si>
  <si>
    <t xml:space="preserve">E-learning (tutoriel)</t>
  </si>
  <si>
    <t xml:space="preserve">Chapitre 5 : Cadre légal (rgpd)</t>
  </si>
  <si>
    <t xml:space="preserve">Aperçu du cadre légal : principes du RGPD</t>
  </si>
  <si>
    <t xml:space="preserve">Connaître les grands principes du RGPD</t>
  </si>
  <si>
    <t xml:space="preserve">Capsule vidéo + PDF synthèse</t>
  </si>
  <si>
    <t xml:space="preserve">QCM final</t>
  </si>
  <si>
    <t xml:space="preserve">Exemples document et procédure RGPD</t>
  </si>
  <si>
    <t xml:space="preserve">Analyse d'etude de cas</t>
  </si>
  <si>
    <t xml:space="preserve">Dossier d’étude de cas</t>
  </si>
  <si>
    <t xml:space="preserve">Personnaliser ses documents</t>
  </si>
  <si>
    <t xml:space="preserve">Consentement du client</t>
  </si>
  <si>
    <t xml:space="preserve">Rédiger une clause de consentement conforme au RGPD.</t>
  </si>
  <si>
    <t xml:space="preserve">Modèle de formulaire de consentement</t>
  </si>
  <si>
    <t xml:space="preserve">QCM interactif</t>
  </si>
  <si>
    <t xml:space="preserve">Droit à l'oubli</t>
  </si>
  <si>
    <t xml:space="preserve">Expliquer le mécanisme et les conditions d’exercice du droit à l’oubli.</t>
  </si>
  <si>
    <t xml:space="preserve">Fiche synthèse + exemples jurisprudentiels</t>
  </si>
  <si>
    <t xml:space="preserve">Respect anonymat</t>
  </si>
  <si>
    <t xml:space="preserve">Maîtriser les techniques d’anonymisation des données.</t>
  </si>
  <si>
    <t xml:space="preserve">Guide pratique + cas d’usage</t>
  </si>
  <si>
    <t xml:space="preserve">Texte + images</t>
  </si>
  <si>
    <t xml:space="preserve">Chapitre 1 - Contexte &amp; menaces</t>
  </si>
  <si>
    <t xml:space="preserve">Accueil &amp; mise en contexte</t>
  </si>
  <si>
    <t xml:space="preserve">Connaître le déroulé de la journée et le rôle du formateur</t>
  </si>
  <si>
    <t xml:space="preserve">Présentation orale + visuels</t>
  </si>
  <si>
    <t xml:space="preserve">Questions-réponses</t>
  </si>
  <si>
    <t xml:space="preserve">Présentiel</t>
  </si>
  <si>
    <t xml:space="preserve">Mise en situation phishing reel</t>
  </si>
  <si>
    <t xml:space="preserve">Realiser la portee humaine du piratage</t>
  </si>
  <si>
    <t xml:space="preserve">Demo de social engineering</t>
  </si>
  <si>
    <t xml:space="preserve">Interaction avec site frauduleux controle</t>
  </si>
  <si>
    <t xml:space="preserve">Atelier "Phishing" - repérage d'e-mails frauduleux</t>
  </si>
  <si>
    <t xml:space="preserve">Identifier au moins 5 indices de phishing</t>
  </si>
  <si>
    <t xml:space="preserve">Série d'e-mails fictifs</t>
  </si>
  <si>
    <t xml:space="preserve">Travail en binômes + restitution</t>
  </si>
  <si>
    <t xml:space="preserve">Chapitre 2 - Configurations &amp; outils </t>
  </si>
  <si>
    <t xml:space="preserve">TP configuration antivirus &amp; pare-feu</t>
  </si>
  <si>
    <t xml:space="preserve">Effectuer une configuration de base de sécurité</t>
  </si>
  <si>
    <t xml:space="preserve">Postes + guide pas-à-pas</t>
  </si>
  <si>
    <t xml:space="preserve">Mise en pratique guidée</t>
  </si>
  <si>
    <t xml:space="preserve">Exercice gestionnaire de mots de passe en groupe</t>
  </si>
  <si>
    <t xml:space="preserve">Maîtriser l'installation et l'usage d'un gestionnaire</t>
  </si>
  <si>
    <t xml:space="preserve">Tutoriel projeté</t>
  </si>
  <si>
    <t xml:space="preserve">Installation &amp; configuration en équipe</t>
  </si>
  <si>
    <t xml:space="preserve">Étude de cas : cybersécurité physique</t>
  </si>
  <si>
    <t xml:space="preserve">Proposer au moins 5 mesures de protection physique</t>
  </si>
  <si>
    <t xml:space="preserve">Scénario écrit + photos</t>
  </si>
  <si>
    <t xml:space="preserve">Brainstorming en petits groupes + restitution</t>
  </si>
  <si>
    <t xml:space="preserve">Nettoyage de poste avec Malwarebytes</t>
  </si>
  <si>
    <t xml:space="preserve">Réaliser un nettoyage complet d'un poste "infecté"</t>
  </si>
  <si>
    <t xml:space="preserve">Logiciel + cas pratique simulé sur VM</t>
  </si>
  <si>
    <t xml:space="preserve">Exercice pas-à-pas</t>
  </si>
  <si>
    <t xml:space="preserve">Chapitre 3 - Gouvernance &amp; restitution</t>
  </si>
  <si>
    <t xml:space="preserve">Atelier RGPD - consentement &amp; droit à l'oubli</t>
  </si>
  <si>
    <t xml:space="preserve">Rédiger une clause de consentement conforme</t>
  </si>
  <si>
    <t xml:space="preserve">Modèles de formulaires</t>
  </si>
  <si>
    <t xml:space="preserve">Rédaction individuelle + partage</t>
  </si>
  <si>
    <t xml:space="preserve">Restitution &amp; retours</t>
  </si>
  <si>
    <t xml:space="preserve">Clarifier ses points de blocage et partager ses bonnes pratiques</t>
  </si>
  <si>
    <t xml:space="preserve">Tableau blanc + marqueurs</t>
  </si>
  <si>
    <t xml:space="preserve">Tour de table + feedback</t>
  </si>
  <si>
    <t xml:space="preserve">Évaluation &amp; conclusion (30 min)</t>
  </si>
  <si>
    <t xml:space="preserve">Quiz final de validation</t>
  </si>
  <si>
    <t xml:space="preserve">Prouver l'acquisition des compétences clés</t>
  </si>
  <si>
    <t xml:space="preserve">QCM interactif (10 questions)</t>
  </si>
  <si>
    <t xml:space="preserve">Passation individuelle</t>
  </si>
  <si>
    <t xml:space="preserve">E-learning (quiz)</t>
  </si>
  <si>
    <t xml:space="preserve">Fiche de synthèse &amp; clés à retenir</t>
  </si>
  <si>
    <t xml:space="preserve">Disposer d'un support de révision</t>
  </si>
  <si>
    <t xml:space="preserve">PDF téléchargeable</t>
  </si>
  <si>
    <t xml:space="preserve">Lecture active</t>
  </si>
  <si>
    <t xml:space="preserve">E-learning (PDF)</t>
  </si>
  <si>
    <t xml:space="preserve">Activité de mémorisation espacée (flashcards)</t>
  </si>
  <si>
    <t xml:space="preserve">Renforcer la mémorisation via répétition espacée</t>
  </si>
  <si>
    <t xml:space="preserve">Plateforme de flashcards</t>
  </si>
  <si>
    <t xml:space="preserve">Révision guidée</t>
  </si>
  <si>
    <t xml:space="preserve">E-learning</t>
  </si>
  <si>
    <t xml:space="preserve">Collecte de feedback &amp; cloture</t>
  </si>
  <si>
    <t xml:space="preserve">Identifier les points d'amélioration pour les prochaines sessions</t>
  </si>
  <si>
    <t xml:space="preserve">Formulaire en ligne</t>
  </si>
  <si>
    <t xml:space="preserve">Remplissage + commentaires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</si>
</sst>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C51" activeCellId="0" sqref="C51"/>
    </sheetView>
  </sheetViews>
  <sheetFormatPr defaultColWidth="10.55859375" defaultRowHeight="14.2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0" width="57.55"/>
    <col collapsed="false" customWidth="true" hidden="false" outlineLevel="0" max="3" min="3" style="0" width="60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4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n">
        <v>10</v>
      </c>
    </row>
    <row r="3" customFormat="false" ht="14.25" hidden="false" customHeight="false" outlineLevel="0" collapsed="false">
      <c r="A3" s="5" t="n">
        <f aca="false">SUM(G2:G5)</f>
        <v>25</v>
      </c>
      <c r="B3" s="0" t="s">
        <v>13</v>
      </c>
      <c r="C3" s="0" t="s">
        <v>14</v>
      </c>
      <c r="D3" s="0" t="s">
        <v>15</v>
      </c>
      <c r="E3" s="0" t="s">
        <v>16</v>
      </c>
      <c r="F3" s="6" t="s">
        <v>17</v>
      </c>
      <c r="G3" s="0" t="n">
        <v>2</v>
      </c>
    </row>
    <row r="4" customFormat="false" ht="14.25" hidden="false" customHeight="false" outlineLevel="0" collapsed="false">
      <c r="B4" s="0" t="s">
        <v>18</v>
      </c>
      <c r="C4" s="0" t="s">
        <v>19</v>
      </c>
      <c r="D4" s="0" t="s">
        <v>20</v>
      </c>
      <c r="E4" s="0" t="s">
        <v>16</v>
      </c>
      <c r="F4" s="0" t="s">
        <v>21</v>
      </c>
      <c r="G4" s="0" t="n">
        <v>3</v>
      </c>
    </row>
    <row r="5" s="6" customFormat="true" ht="14.25" hidden="false" customHeight="false" outlineLevel="0" collapsed="false">
      <c r="A5" s="7"/>
      <c r="B5" s="6" t="s">
        <v>22</v>
      </c>
      <c r="C5" s="6" t="s">
        <v>23</v>
      </c>
      <c r="D5" s="6" t="s">
        <v>24</v>
      </c>
      <c r="E5" s="6" t="s">
        <v>24</v>
      </c>
      <c r="F5" s="6" t="s">
        <v>25</v>
      </c>
      <c r="G5" s="6" t="n">
        <v>10</v>
      </c>
    </row>
    <row r="7" customFormat="false" ht="14.25" hidden="false" customHeight="false" outlineLevel="0" collapsed="false">
      <c r="A7" s="4" t="s">
        <v>26</v>
      </c>
      <c r="H7" s="0" t="s">
        <v>27</v>
      </c>
    </row>
    <row r="8" customFormat="false" ht="14.25" hidden="false" customHeight="false" outlineLevel="0" collapsed="false">
      <c r="A8" s="5" t="n">
        <f aca="false">SUM(G8:G13)</f>
        <v>45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12</v>
      </c>
      <c r="G8" s="0" t="n">
        <v>10</v>
      </c>
    </row>
    <row r="9" customFormat="false" ht="14.25" hidden="false" customHeight="false" outlineLevel="0" collapsed="false">
      <c r="B9" s="0" t="s">
        <v>32</v>
      </c>
      <c r="C9" s="0" t="s">
        <v>33</v>
      </c>
      <c r="D9" s="0" t="s">
        <v>34</v>
      </c>
      <c r="F9" s="0" t="s">
        <v>12</v>
      </c>
      <c r="G9" s="0" t="n">
        <v>10</v>
      </c>
      <c r="H9" s="0" t="s">
        <v>35</v>
      </c>
    </row>
    <row r="10" customFormat="false" ht="14.25" hidden="false" customHeight="false" outlineLevel="0" collapsed="false">
      <c r="B10" s="0" t="s">
        <v>36</v>
      </c>
      <c r="C10" s="0" t="s">
        <v>37</v>
      </c>
      <c r="D10" s="0" t="s">
        <v>38</v>
      </c>
      <c r="E10" s="0" t="s">
        <v>39</v>
      </c>
      <c r="G10" s="0" t="n">
        <v>10</v>
      </c>
    </row>
    <row r="11" s="6" customFormat="true" ht="14.25" hidden="false" customHeight="false" outlineLevel="0" collapsed="false">
      <c r="A11" s="7"/>
      <c r="B11" s="6" t="s">
        <v>40</v>
      </c>
      <c r="C11" s="6" t="s">
        <v>41</v>
      </c>
      <c r="D11" s="6" t="s">
        <v>42</v>
      </c>
      <c r="F11" s="6" t="s">
        <v>17</v>
      </c>
      <c r="G11" s="6" t="n">
        <v>10</v>
      </c>
    </row>
    <row r="12" s="10" customFormat="true" ht="14.25" hidden="false" customHeight="false" outlineLevel="0" collapsed="false">
      <c r="A12" s="8"/>
      <c r="B12" s="9" t="s">
        <v>43</v>
      </c>
      <c r="G12" s="9" t="n">
        <v>5</v>
      </c>
    </row>
    <row r="13" customFormat="false" ht="14.25" hidden="false" customHeight="false" outlineLevel="0" collapsed="false">
      <c r="H13" s="0" t="s">
        <v>44</v>
      </c>
    </row>
    <row r="14" customFormat="false" ht="14.25" hidden="false" customHeight="false" outlineLevel="0" collapsed="false">
      <c r="A14" s="4" t="s">
        <v>45</v>
      </c>
    </row>
    <row r="15" customFormat="false" ht="14.25" hidden="false" customHeight="false" outlineLevel="0" collapsed="false">
      <c r="A15" s="5" t="n">
        <f aca="false">SUM(G15:G18)</f>
        <v>35</v>
      </c>
      <c r="B15" s="0" t="s">
        <v>46</v>
      </c>
      <c r="C15" s="0" t="s">
        <v>47</v>
      </c>
      <c r="D15" s="0" t="s">
        <v>48</v>
      </c>
      <c r="F15" s="0" t="s">
        <v>49</v>
      </c>
      <c r="G15" s="0" t="n">
        <v>10</v>
      </c>
    </row>
    <row r="16" customFormat="false" ht="14.25" hidden="false" customHeight="false" outlineLevel="0" collapsed="false">
      <c r="B16" s="0" t="s">
        <v>50</v>
      </c>
      <c r="C16" s="0" t="s">
        <v>51</v>
      </c>
      <c r="D16" s="11" t="s">
        <v>52</v>
      </c>
      <c r="F16" s="0" t="s">
        <v>49</v>
      </c>
      <c r="G16" s="0" t="n">
        <v>10</v>
      </c>
    </row>
    <row r="17" customFormat="false" ht="14.25" hidden="false" customHeight="false" outlineLevel="0" collapsed="false">
      <c r="B17" s="0" t="s">
        <v>53</v>
      </c>
      <c r="C17" s="0" t="s">
        <v>54</v>
      </c>
      <c r="D17" s="0" t="s">
        <v>55</v>
      </c>
      <c r="E17" s="0" t="s">
        <v>56</v>
      </c>
      <c r="F17" s="0" t="s">
        <v>49</v>
      </c>
      <c r="G17" s="0" t="n">
        <v>5</v>
      </c>
    </row>
    <row r="18" s="6" customFormat="true" ht="14.25" hidden="false" customHeight="false" outlineLevel="0" collapsed="false">
      <c r="A18" s="7"/>
      <c r="B18" s="6" t="s">
        <v>57</v>
      </c>
      <c r="C18" s="6" t="s">
        <v>58</v>
      </c>
      <c r="D18" s="6" t="s">
        <v>59</v>
      </c>
      <c r="E18" s="6" t="s">
        <v>60</v>
      </c>
      <c r="F18" s="6" t="s">
        <v>17</v>
      </c>
      <c r="G18" s="6" t="n">
        <v>10</v>
      </c>
    </row>
    <row r="20" customFormat="false" ht="14.25" hidden="false" customHeight="false" outlineLevel="0" collapsed="false">
      <c r="A20" s="4" t="s">
        <v>61</v>
      </c>
    </row>
    <row r="21" customFormat="false" ht="14.25" hidden="false" customHeight="false" outlineLevel="0" collapsed="false">
      <c r="A21" s="5" t="n">
        <f aca="false">SUM(G22:G24)</f>
        <v>15</v>
      </c>
      <c r="B21" s="0" t="s">
        <v>62</v>
      </c>
      <c r="C21" s="0" t="s">
        <v>63</v>
      </c>
      <c r="D21" s="0" t="s">
        <v>64</v>
      </c>
      <c r="E21" s="0" t="s">
        <v>65</v>
      </c>
      <c r="F21" s="0" t="s">
        <v>17</v>
      </c>
      <c r="G21" s="0" t="n">
        <v>10</v>
      </c>
    </row>
    <row r="22" customFormat="false" ht="14.25" hidden="false" customHeight="false" outlineLevel="0" collapsed="false">
      <c r="B22" s="0" t="s">
        <v>66</v>
      </c>
      <c r="C22" s="0" t="s">
        <v>67</v>
      </c>
      <c r="D22" s="0" t="s">
        <v>68</v>
      </c>
      <c r="E22" s="0" t="s">
        <v>69</v>
      </c>
      <c r="F22" s="0" t="s">
        <v>12</v>
      </c>
      <c r="G22" s="0" t="n">
        <v>10</v>
      </c>
    </row>
    <row r="23" s="6" customFormat="true" ht="14.25" hidden="false" customHeight="false" outlineLevel="0" collapsed="false">
      <c r="A23" s="7"/>
      <c r="B23" s="6" t="s">
        <v>70</v>
      </c>
      <c r="C23" s="6" t="s">
        <v>71</v>
      </c>
      <c r="D23" s="11" t="s">
        <v>72</v>
      </c>
      <c r="E23" s="6" t="s">
        <v>73</v>
      </c>
      <c r="F23" s="6" t="s">
        <v>12</v>
      </c>
      <c r="G23" s="6" t="n">
        <v>5</v>
      </c>
    </row>
    <row r="25" customFormat="false" ht="14.25" hidden="false" customHeight="false" outlineLevel="0" collapsed="false">
      <c r="A25" s="4" t="s">
        <v>74</v>
      </c>
    </row>
    <row r="26" customFormat="false" ht="14.25" hidden="false" customHeight="false" outlineLevel="0" collapsed="false">
      <c r="A26" s="5" t="n">
        <f aca="false">SUM(G26:G28)</f>
        <v>30</v>
      </c>
      <c r="B26" s="0" t="s">
        <v>75</v>
      </c>
      <c r="C26" s="0" t="s">
        <v>76</v>
      </c>
      <c r="D26" s="0" t="s">
        <v>77</v>
      </c>
      <c r="E26" s="0" t="s">
        <v>78</v>
      </c>
      <c r="F26" s="0" t="s">
        <v>12</v>
      </c>
      <c r="G26" s="0" t="n">
        <v>10</v>
      </c>
    </row>
    <row r="27" customFormat="false" ht="14.25" hidden="false" customHeight="false" outlineLevel="0" collapsed="false">
      <c r="B27" s="0" t="s">
        <v>79</v>
      </c>
      <c r="C27" s="0" t="s">
        <v>80</v>
      </c>
      <c r="D27" s="0" t="s">
        <v>81</v>
      </c>
      <c r="E27" s="0" t="s">
        <v>82</v>
      </c>
      <c r="F27" s="0" t="s">
        <v>17</v>
      </c>
      <c r="G27" s="0" t="n">
        <v>10</v>
      </c>
    </row>
    <row r="28" customFormat="false" ht="14.25" hidden="false" customHeight="false" outlineLevel="0" collapsed="false">
      <c r="B28" s="6" t="s">
        <v>83</v>
      </c>
      <c r="C28" s="6" t="s">
        <v>84</v>
      </c>
      <c r="D28" s="6" t="s">
        <v>85</v>
      </c>
      <c r="E28" s="6" t="s">
        <v>86</v>
      </c>
      <c r="F28" s="6" t="s">
        <v>87</v>
      </c>
      <c r="G28" s="6" t="n">
        <v>10</v>
      </c>
    </row>
    <row r="29" s="6" customFormat="true" ht="14.25" hidden="false" customHeight="false" outlineLevel="0" collapsed="false">
      <c r="A29" s="7"/>
    </row>
    <row r="31" customFormat="false" ht="14.25" hidden="false" customHeight="false" outlineLevel="0" collapsed="false">
      <c r="A31" s="4" t="s">
        <v>88</v>
      </c>
      <c r="B31" s="0" t="s">
        <v>89</v>
      </c>
      <c r="C31" s="0" t="s">
        <v>90</v>
      </c>
      <c r="D31" s="11" t="s">
        <v>91</v>
      </c>
      <c r="E31" s="0" t="s">
        <v>92</v>
      </c>
      <c r="F31" s="0" t="s">
        <v>12</v>
      </c>
      <c r="G31" s="0" t="n">
        <v>20</v>
      </c>
    </row>
    <row r="32" customFormat="false" ht="14.25" hidden="false" customHeight="false" outlineLevel="0" collapsed="false">
      <c r="A32" s="5" t="n">
        <f aca="false">SUM(G31:G35)</f>
        <v>44</v>
      </c>
      <c r="B32" s="0" t="s">
        <v>93</v>
      </c>
      <c r="C32" s="0" t="s">
        <v>94</v>
      </c>
      <c r="D32" s="11" t="s">
        <v>95</v>
      </c>
      <c r="E32" s="0" t="s">
        <v>96</v>
      </c>
      <c r="F32" s="0" t="s">
        <v>87</v>
      </c>
      <c r="G32" s="0" t="n">
        <v>15</v>
      </c>
    </row>
    <row r="33" customFormat="false" ht="14.25" hidden="false" customHeight="false" outlineLevel="0" collapsed="false">
      <c r="B33" s="0" t="s">
        <v>97</v>
      </c>
      <c r="C33" s="0" t="s">
        <v>98</v>
      </c>
      <c r="D33" s="0" t="s">
        <v>99</v>
      </c>
      <c r="E33" s="0" t="s">
        <v>100</v>
      </c>
      <c r="F33" s="0" t="s">
        <v>49</v>
      </c>
      <c r="G33" s="0" t="n">
        <v>3</v>
      </c>
    </row>
    <row r="34" customFormat="false" ht="14.25" hidden="false" customHeight="false" outlineLevel="0" collapsed="false">
      <c r="B34" s="0" t="s">
        <v>101</v>
      </c>
      <c r="C34" s="0" t="s">
        <v>102</v>
      </c>
      <c r="D34" s="0" t="s">
        <v>103</v>
      </c>
      <c r="E34" s="0" t="s">
        <v>100</v>
      </c>
      <c r="F34" s="0" t="s">
        <v>49</v>
      </c>
      <c r="G34" s="0" t="n">
        <v>3</v>
      </c>
    </row>
    <row r="35" customFormat="false" ht="14.25" hidden="false" customHeight="false" outlineLevel="0" collapsed="false">
      <c r="B35" s="6" t="s">
        <v>104</v>
      </c>
      <c r="C35" s="0" t="s">
        <v>105</v>
      </c>
      <c r="D35" s="0" t="s">
        <v>106</v>
      </c>
      <c r="E35" s="0" t="s">
        <v>100</v>
      </c>
      <c r="F35" s="0" t="s">
        <v>49</v>
      </c>
      <c r="G35" s="6" t="n">
        <v>3</v>
      </c>
    </row>
    <row r="36" s="6" customFormat="true" ht="14.25" hidden="false" customHeight="false" outlineLevel="0" collapsed="false"/>
    <row r="39" customFormat="false" ht="14.25" hidden="false" customHeight="false" outlineLevel="0" collapsed="false">
      <c r="B39" s="12" t="n">
        <v>180</v>
      </c>
      <c r="G39" s="0" t="n">
        <f aca="false">SUM(G2:G35)</f>
        <v>204</v>
      </c>
    </row>
    <row r="40" customFormat="false" ht="14.25" hidden="false" customHeight="false" outlineLevel="0" collapsed="false">
      <c r="A40" s="1" t="n">
        <f aca="false">SUM(G2:G35)</f>
        <v>204</v>
      </c>
      <c r="H40" s="0" t="n">
        <v>180</v>
      </c>
    </row>
    <row r="50" customFormat="false" ht="14.25" hidden="false" customHeight="false" outlineLevel="0" collapsed="false">
      <c r="C50" s="0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C11" activeCellId="0" sqref="C11"/>
    </sheetView>
  </sheetViews>
  <sheetFormatPr defaultColWidth="10.55859375" defaultRowHeight="14.25" zeroHeight="false" outlineLevelRow="0" outlineLevelCol="0"/>
  <cols>
    <col collapsed="false" customWidth="true" hidden="false" outlineLevel="0" max="1" min="1" style="1" width="39.78"/>
    <col collapsed="false" customWidth="true" hidden="false" outlineLevel="0" max="2" min="2" style="0" width="70.55"/>
    <col collapsed="false" customWidth="true" hidden="false" outlineLevel="0" max="3" min="3" style="0" width="46.44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4" t="s">
        <v>108</v>
      </c>
    </row>
    <row r="3" customFormat="false" ht="14.25" hidden="false" customHeight="false" outlineLevel="0" collapsed="false">
      <c r="A3" s="5" t="n">
        <f aca="false">SUM(G2:G5)</f>
        <v>40</v>
      </c>
      <c r="B3" s="0" t="s">
        <v>109</v>
      </c>
      <c r="C3" s="0" t="s">
        <v>110</v>
      </c>
      <c r="D3" s="0" t="s">
        <v>111</v>
      </c>
      <c r="E3" s="0" t="s">
        <v>112</v>
      </c>
      <c r="F3" s="0" t="s">
        <v>113</v>
      </c>
      <c r="G3" s="0" t="n">
        <v>10</v>
      </c>
    </row>
    <row r="4" customFormat="false" ht="14.25" hidden="false" customHeight="false" outlineLevel="0" collapsed="false">
      <c r="B4" s="0" t="s">
        <v>114</v>
      </c>
      <c r="C4" s="0" t="s">
        <v>115</v>
      </c>
      <c r="D4" s="0" t="s">
        <v>116</v>
      </c>
      <c r="E4" s="0" t="s">
        <v>117</v>
      </c>
      <c r="F4" s="0" t="s">
        <v>113</v>
      </c>
      <c r="G4" s="0" t="n">
        <v>10</v>
      </c>
    </row>
    <row r="5" customFormat="false" ht="14.25" hidden="false" customHeight="false" outlineLevel="0" collapsed="false">
      <c r="B5" s="0" t="s">
        <v>118</v>
      </c>
      <c r="C5" s="0" t="s">
        <v>119</v>
      </c>
      <c r="D5" s="0" t="s">
        <v>120</v>
      </c>
      <c r="E5" s="0" t="s">
        <v>121</v>
      </c>
      <c r="F5" s="0" t="s">
        <v>113</v>
      </c>
      <c r="G5" s="0" t="n">
        <v>20</v>
      </c>
    </row>
    <row r="7" customFormat="false" ht="14.25" hidden="false" customHeight="false" outlineLevel="0" collapsed="false">
      <c r="A7" s="4" t="s">
        <v>122</v>
      </c>
      <c r="H7" s="0" t="s">
        <v>27</v>
      </c>
    </row>
    <row r="8" customFormat="false" ht="14.25" hidden="false" customHeight="false" outlineLevel="0" collapsed="false">
      <c r="A8" s="5" t="n">
        <f aca="false">SUM(G8:G11)</f>
        <v>90</v>
      </c>
      <c r="B8" s="0" t="s">
        <v>123</v>
      </c>
      <c r="C8" s="0" t="s">
        <v>124</v>
      </c>
      <c r="D8" s="0" t="s">
        <v>125</v>
      </c>
      <c r="E8" s="0" t="s">
        <v>126</v>
      </c>
      <c r="F8" s="0" t="s">
        <v>113</v>
      </c>
      <c r="G8" s="0" t="n">
        <v>20</v>
      </c>
    </row>
    <row r="9" customFormat="false" ht="14.25" hidden="false" customHeight="false" outlineLevel="0" collapsed="false">
      <c r="B9" s="0" t="s">
        <v>127</v>
      </c>
      <c r="C9" s="0" t="s">
        <v>128</v>
      </c>
      <c r="D9" s="0" t="s">
        <v>129</v>
      </c>
      <c r="E9" s="0" t="s">
        <v>130</v>
      </c>
      <c r="F9" s="0" t="s">
        <v>113</v>
      </c>
      <c r="G9" s="0" t="n">
        <v>20</v>
      </c>
      <c r="H9" s="0" t="s">
        <v>35</v>
      </c>
    </row>
    <row r="10" customFormat="false" ht="14.25" hidden="false" customHeight="false" outlineLevel="0" collapsed="false">
      <c r="B10" s="0" t="s">
        <v>131</v>
      </c>
      <c r="C10" s="0" t="s">
        <v>132</v>
      </c>
      <c r="D10" s="0" t="s">
        <v>133</v>
      </c>
      <c r="E10" s="0" t="s">
        <v>134</v>
      </c>
      <c r="F10" s="0" t="s">
        <v>113</v>
      </c>
      <c r="G10" s="0" t="n">
        <v>25</v>
      </c>
    </row>
    <row r="11" customFormat="false" ht="14.25" hidden="false" customHeight="false" outlineLevel="0" collapsed="false">
      <c r="B11" s="0" t="s">
        <v>135</v>
      </c>
      <c r="C11" s="0" t="s">
        <v>136</v>
      </c>
      <c r="D11" s="0" t="s">
        <v>137</v>
      </c>
      <c r="E11" s="0" t="s">
        <v>138</v>
      </c>
      <c r="F11" s="0" t="s">
        <v>113</v>
      </c>
      <c r="G11" s="0" t="n">
        <v>25</v>
      </c>
      <c r="H11" s="0" t="s">
        <v>44</v>
      </c>
    </row>
    <row r="13" customFormat="false" ht="14.25" hidden="false" customHeight="false" outlineLevel="0" collapsed="false">
      <c r="A13" s="4" t="s">
        <v>139</v>
      </c>
    </row>
    <row r="14" customFormat="false" ht="14.25" hidden="false" customHeight="false" outlineLevel="0" collapsed="false">
      <c r="A14" s="5" t="n">
        <f aca="false">SUM(G14:G17)</f>
        <v>45</v>
      </c>
      <c r="B14" s="0" t="s">
        <v>140</v>
      </c>
      <c r="C14" s="0" t="s">
        <v>141</v>
      </c>
      <c r="D14" s="0" t="s">
        <v>142</v>
      </c>
      <c r="E14" s="0" t="s">
        <v>143</v>
      </c>
      <c r="F14" s="0" t="s">
        <v>113</v>
      </c>
      <c r="G14" s="0" t="n">
        <v>25</v>
      </c>
    </row>
    <row r="15" customFormat="false" ht="14.25" hidden="false" customHeight="false" outlineLevel="0" collapsed="false">
      <c r="B15" s="0" t="s">
        <v>144</v>
      </c>
      <c r="C15" s="0" t="s">
        <v>145</v>
      </c>
      <c r="D15" s="0" t="s">
        <v>146</v>
      </c>
      <c r="E15" s="0" t="s">
        <v>147</v>
      </c>
      <c r="F15" s="0" t="s">
        <v>113</v>
      </c>
      <c r="G15" s="0" t="n">
        <v>20</v>
      </c>
    </row>
    <row r="19" customFormat="false" ht="14.25" hidden="false" customHeight="false" outlineLevel="0" collapsed="false">
      <c r="A19" s="4"/>
      <c r="G19" s="0" t="n">
        <f aca="false">SUM(G3:G15)</f>
        <v>175</v>
      </c>
      <c r="H19" s="0" t="n">
        <v>180</v>
      </c>
    </row>
    <row r="20" customFormat="false" ht="14.25" hidden="false" customHeight="false" outlineLevel="0" collapsed="false">
      <c r="A20" s="5"/>
    </row>
    <row r="24" customFormat="false" ht="14.25" hidden="false" customHeight="false" outlineLevel="0" collapsed="false">
      <c r="A24" s="4"/>
    </row>
    <row r="25" customFormat="false" ht="14.25" hidden="false" customHeight="false" outlineLevel="0" collapsed="false">
      <c r="A25" s="5"/>
    </row>
    <row r="30" customFormat="false" ht="14.25" hidden="false" customHeight="false" outlineLevel="0" collapsed="false">
      <c r="A3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6" activeCellId="0" sqref="A6"/>
    </sheetView>
  </sheetViews>
  <sheetFormatPr defaultColWidth="10.55859375" defaultRowHeight="14.2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0" width="70.55"/>
    <col collapsed="false" customWidth="true" hidden="false" outlineLevel="0" max="3" min="3" style="0" width="46.44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4" t="s">
        <v>148</v>
      </c>
    </row>
    <row r="3" customFormat="false" ht="14.25" hidden="false" customHeight="false" outlineLevel="0" collapsed="false">
      <c r="A3" s="13"/>
      <c r="B3" s="14" t="s">
        <v>149</v>
      </c>
      <c r="C3" s="14" t="s">
        <v>150</v>
      </c>
      <c r="D3" s="14" t="s">
        <v>151</v>
      </c>
      <c r="E3" s="14" t="s">
        <v>152</v>
      </c>
      <c r="F3" s="14" t="s">
        <v>153</v>
      </c>
      <c r="G3" s="13" t="n">
        <v>15</v>
      </c>
    </row>
    <row r="4" customFormat="false" ht="14.25" hidden="false" customHeight="false" outlineLevel="0" collapsed="false">
      <c r="A4" s="13"/>
      <c r="B4" s="14" t="s">
        <v>154</v>
      </c>
      <c r="C4" s="14" t="s">
        <v>155</v>
      </c>
      <c r="D4" s="14" t="s">
        <v>156</v>
      </c>
      <c r="E4" s="14" t="s">
        <v>157</v>
      </c>
      <c r="F4" s="14" t="s">
        <v>158</v>
      </c>
      <c r="G4" s="13" t="n">
        <v>5</v>
      </c>
    </row>
    <row r="5" customFormat="false" ht="14.25" hidden="false" customHeight="false" outlineLevel="0" collapsed="false">
      <c r="A5" s="13"/>
      <c r="B5" s="14" t="s">
        <v>159</v>
      </c>
      <c r="C5" s="14" t="s">
        <v>160</v>
      </c>
      <c r="D5" s="14" t="s">
        <v>161</v>
      </c>
      <c r="E5" s="14" t="s">
        <v>162</v>
      </c>
      <c r="F5" s="14" t="s">
        <v>163</v>
      </c>
      <c r="G5" s="13" t="n">
        <v>5</v>
      </c>
    </row>
    <row r="6" customFormat="false" ht="28.5" hidden="false" customHeight="false" outlineLevel="0" collapsed="false">
      <c r="A6" s="13"/>
      <c r="B6" s="14" t="s">
        <v>164</v>
      </c>
      <c r="C6" s="14" t="s">
        <v>165</v>
      </c>
      <c r="D6" s="14" t="s">
        <v>166</v>
      </c>
      <c r="E6" s="14" t="s">
        <v>167</v>
      </c>
      <c r="F6" s="14" t="s">
        <v>163</v>
      </c>
      <c r="G6" s="13" t="n">
        <v>5</v>
      </c>
    </row>
    <row r="8" customFormat="false" ht="14.25" hidden="false" customHeight="false" outlineLevel="0" collapsed="false">
      <c r="G8" s="0" t="n">
        <f aca="false">SUM(G3:G6)</f>
        <v>30</v>
      </c>
    </row>
    <row r="10" customFormat="false" ht="14.25" hidden="false" customHeight="false" outlineLevel="0" collapsed="false">
      <c r="A10" s="4"/>
    </row>
    <row r="11" customFormat="false" ht="14.25" hidden="false" customHeight="false" outlineLevel="0" collapsed="false">
      <c r="A11" s="5"/>
    </row>
    <row r="16" customFormat="false" ht="14.25" hidden="false" customHeight="false" outlineLevel="0" collapsed="false">
      <c r="A16" s="4"/>
    </row>
    <row r="17" customFormat="false" ht="14.25" hidden="false" customHeight="false" outlineLevel="0" collapsed="false">
      <c r="A17" s="5"/>
    </row>
    <row r="21" customFormat="false" ht="14.25" hidden="false" customHeight="false" outlineLevel="0" collapsed="false">
      <c r="A21" s="4"/>
    </row>
    <row r="22" customFormat="false" ht="14.25" hidden="false" customHeight="false" outlineLevel="0" collapsed="false">
      <c r="A22" s="5"/>
    </row>
    <row r="27" customFormat="false" ht="14.25" hidden="false" customHeight="false" outlineLevel="0" collapsed="false">
      <c r="A2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efp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2025-06-17T16:41:24Z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