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mzou\Documents\webDev\formations\LOT 3\"/>
    </mc:Choice>
  </mc:AlternateContent>
  <xr:revisionPtr revIDLastSave="0" documentId="13_ncr:1_{6278BE23-0FCA-419A-A746-34B510E61730}" xr6:coauthVersionLast="47" xr6:coauthVersionMax="47" xr10:uidLastSave="{00000000-0000-0000-0000-000000000000}"/>
  <bookViews>
    <workbookView xWindow="28680" yWindow="-120" windowWidth="29040" windowHeight="15720" tabRatio="568" xr2:uid="{2F684338-0BB5-4165-BE60-ED5207FD9A1F}"/>
  </bookViews>
  <sheets>
    <sheet name="E-learning 1" sheetId="1" r:id="rId1"/>
    <sheet name="Presentiel" sheetId="2" r:id="rId2"/>
    <sheet name="E-learning 2" sheetId="4" r:id="rId3"/>
  </sheets>
  <definedNames>
    <definedName name="DonnéesExternes_1" localSheetId="2" hidden="1">'E-learning 2'!$A$1:$G$4</definedName>
    <definedName name="DonnéesExternes_1" localSheetId="1" hidden="1">Presentiel!$A$1:$G$8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H2" i="1"/>
  <c r="H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AE1111-999B-44A2-A05C-E60EA2B73AC5}" keepAlive="1" name="Requête - E-learning___Pour_aller_plus_loin__20_min_" description="Connexion à la requête « E-learning___Pour_aller_plus_loin__20_min_ » dans le classeur." type="5" refreshedVersion="8" background="1" saveData="1">
    <dbPr connection="Provider=Microsoft.Mashup.OleDb.1;Data Source=$Workbook$;Location=E-learning___Pour_aller_plus_loin__20_min_;Extended Properties=&quot;&quot;" command="SELECT * FROM [E-learning___Pour_aller_plus_loin__20_min_]"/>
  </connection>
  <connection id="2" xr16:uid="{27CCEE71-2BE1-422B-80A2-BB66A1915F30}" keepAlive="1" name="Requête - Programme_Pr_sentiel_-_IA___Entrepreneur" description="Connexion à la requête « Programme_Pr_sentiel_-_IA___Entrepreneur » dans le classeur." type="5" refreshedVersion="8" background="1" saveData="1">
    <dbPr connection="Provider=Microsoft.Mashup.OleDb.1;Data Source=$Workbook$;Location=Programme_Pr_sentiel_-_IA___Entrepreneur;Extended Properties=&quot;&quot;" command="SELECT * FROM [Programme_Pr_sentiel_-_IA___Entrepreneur]"/>
  </connection>
</connections>
</file>

<file path=xl/sharedStrings.xml><?xml version="1.0" encoding="utf-8"?>
<sst xmlns="http://schemas.openxmlformats.org/spreadsheetml/2006/main" count="204" uniqueCount="145">
  <si>
    <t>Numéro de la partie</t>
  </si>
  <si>
    <t>Titre de la séquence</t>
  </si>
  <si>
    <t>Objectif pédagogique</t>
  </si>
  <si>
    <t>Contenu proposé</t>
  </si>
  <si>
    <t>Activité apprenant</t>
  </si>
  <si>
    <t>Format</t>
  </si>
  <si>
    <t>Durée estimée</t>
  </si>
  <si>
    <t>Vidéo podcast</t>
  </si>
  <si>
    <t>Vidéo + texte</t>
  </si>
  <si>
    <t>Vidéo introductive + résumé écrit</t>
  </si>
  <si>
    <t>Présentation de la formatrice, objectifs et les acquis finaux</t>
  </si>
  <si>
    <t>Test de positionnement initial</t>
  </si>
  <si>
    <t>Evaluer le niveau de l'apprenant ou apprenante</t>
  </si>
  <si>
    <t>Quizz 10 questions</t>
  </si>
  <si>
    <t>Quizz</t>
  </si>
  <si>
    <t>10 questions, propositions, réponses</t>
  </si>
  <si>
    <t>4 objectifs de la formation</t>
  </si>
  <si>
    <t>Expliquer les 5 grands objectifs</t>
  </si>
  <si>
    <t>4-5 objectifs</t>
  </si>
  <si>
    <t>Lecture objectif</t>
  </si>
  <si>
    <t>texte</t>
  </si>
  <si>
    <t>Glossaire</t>
  </si>
  <si>
    <t>Simplifier les notions de vocabulaires techniques</t>
  </si>
  <si>
    <t>Définition vulgarisée</t>
  </si>
  <si>
    <t>Lecture définition</t>
  </si>
  <si>
    <t>Texte</t>
  </si>
  <si>
    <t>Chapitre 1 : Comprendre l'I.A</t>
  </si>
  <si>
    <t xml:space="preserve">Qu'est ce que l'I.A </t>
  </si>
  <si>
    <t>Vidéo (Pwp animé)</t>
  </si>
  <si>
    <t>Vidéo animé</t>
  </si>
  <si>
    <t>Vidéo assemblée</t>
  </si>
  <si>
    <t>Situer l'evolution de l'I.A en 5 étapes</t>
  </si>
  <si>
    <t>Comprendre l'histoire de l'I.A</t>
  </si>
  <si>
    <t>Ligne de temps</t>
  </si>
  <si>
    <t>Ligne du temps</t>
  </si>
  <si>
    <t>Texte et Image</t>
  </si>
  <si>
    <t>Podcast témoignage</t>
  </si>
  <si>
    <t>Les grandes familles</t>
  </si>
  <si>
    <t>Expliquer les différentes familles d'I.A</t>
  </si>
  <si>
    <t xml:space="preserve">Comprendre le fonctionnement l'I.A </t>
  </si>
  <si>
    <t>Image + explication</t>
  </si>
  <si>
    <t>Carte d'identité I.A</t>
  </si>
  <si>
    <t>Image + texte de présentation</t>
  </si>
  <si>
    <t>Podcast</t>
  </si>
  <si>
    <t>Interview + questions</t>
  </si>
  <si>
    <t>Chapitre 2 : Introduction Prompt</t>
  </si>
  <si>
    <t>Définition</t>
  </si>
  <si>
    <t>Définir le prompt</t>
  </si>
  <si>
    <t>Structure d'un prompt</t>
  </si>
  <si>
    <t>Comprendre comment structurer un prompt</t>
  </si>
  <si>
    <t>Image interactive</t>
  </si>
  <si>
    <t>Interactivité avec les éléments</t>
  </si>
  <si>
    <t>Schéma + texte</t>
  </si>
  <si>
    <t>Exemples de prompts d'entrepreneurs</t>
  </si>
  <si>
    <t>Démontrer des exemples de prompt faits par des entrepreneuses</t>
  </si>
  <si>
    <t>Explorer les exemples</t>
  </si>
  <si>
    <t>Texte + images</t>
  </si>
  <si>
    <t>Tutoriel pour ChatGPT</t>
  </si>
  <si>
    <t>Comment  aller sur ChatGpt</t>
  </si>
  <si>
    <t>Tutoriel</t>
  </si>
  <si>
    <t xml:space="preserve">Vidéo </t>
  </si>
  <si>
    <t>Consignes pour exercice autonome</t>
  </si>
  <si>
    <t>Exercice prompt</t>
  </si>
  <si>
    <t>Texte+ consignes</t>
  </si>
  <si>
    <t>Impact environnementales</t>
  </si>
  <si>
    <t xml:space="preserve">Informer sur les coûts énergétiques et la durabilité </t>
  </si>
  <si>
    <t>Image + texte</t>
  </si>
  <si>
    <t>Les droix légaux et droits d'auteur</t>
  </si>
  <si>
    <t>Carousel</t>
  </si>
  <si>
    <t>Ethique</t>
  </si>
  <si>
    <t>Accordéon</t>
  </si>
  <si>
    <t>A retenir</t>
  </si>
  <si>
    <t>Synthèse des points</t>
  </si>
  <si>
    <t>Liste de points importants</t>
  </si>
  <si>
    <t>Exercice : Créer un prompt pour améliorer ton texte (Correction ortho, formulation?..)</t>
  </si>
  <si>
    <t>Rédiger un prompt qualitatif pour son activité pour améliorer ses textes</t>
  </si>
  <si>
    <t>Exercice : Créer un prompt pour avoir de l'inspiration pour ton activité</t>
  </si>
  <si>
    <t>Rédiger un prompt qualitatif pour développer son activité (Publicité activité)</t>
  </si>
  <si>
    <t>Exercice : Créer un prompt pour avoir un modèle devis</t>
  </si>
  <si>
    <t>Rédiger un prompt qualitatif pour l'aspect administratif</t>
  </si>
  <si>
    <t>Prompt construit vs Prompt mal rédigé</t>
  </si>
  <si>
    <t>Identifier un prompt structuré d'un non structuré</t>
  </si>
  <si>
    <t>Carte à classer (Sortin activité)</t>
  </si>
  <si>
    <t>Classer</t>
  </si>
  <si>
    <t>Exemples prompts</t>
  </si>
  <si>
    <t>Chapitre 3 : Exercices de prompts</t>
  </si>
  <si>
    <t>Chapitre 4  : Enjeux et responsabilités</t>
  </si>
  <si>
    <t>27/05/25 Chapitre 1</t>
  </si>
  <si>
    <t>24/06 Chapitre 0 à Chapitre 3 inclus</t>
  </si>
  <si>
    <t xml:space="preserve"> Introduction</t>
  </si>
  <si>
    <t>Chapitre 5 : mise en situation</t>
  </si>
  <si>
    <t>Brainstorming rapide “Idées d’usages”</t>
  </si>
  <si>
    <t>Stimuler la créativité autour de l’IA dans leur activité</t>
  </si>
  <si>
    <t>Présentiel</t>
  </si>
  <si>
    <t>Introduction &amp; débrief collectif</t>
  </si>
  <si>
    <t>Faire le lien avec le e-learning, faire émerger des usages concrets.</t>
  </si>
  <si>
    <t>Tour de table, mur des idées (chaque participant donne un cas d'usage envisagé), mini-quiz express (rappeler en  3 questions les grandes familles d'IA ou les précautions d'usage (RGPD, hallucinations, …)</t>
  </si>
  <si>
    <t>Partage d’expérience, expression d’idées d’usage de l’IA</t>
  </si>
  <si>
    <t>Discussion ouverte + activité mur d’idées</t>
  </si>
  <si>
    <t>"Dialoguer" avec l'IA</t>
  </si>
  <si>
    <t>Savoir dialoguer efficacement avec une IA.</t>
  </si>
  <si>
    <t>PPT; explication des bonnes pratiques pour dialoguer avec l'IA et obtenir les meilleurs résultats possible</t>
  </si>
  <si>
    <t>Ecouter</t>
  </si>
  <si>
    <t>PPT</t>
  </si>
  <si>
    <t/>
  </si>
  <si>
    <t>Atelier 1 – Rédiger des prompts adaptés à son activité</t>
  </si>
  <si>
    <t>Apprendre à rédiger des prompts efficaces et les tester sur des cas concrets.</t>
  </si>
  <si>
    <t>Présentation des bonnes pratiques, travail sur cas réels</t>
  </si>
  <si>
    <t>Création et amélioration de prompts pour répondre à un client difficile ET e-mails de prospection</t>
  </si>
  <si>
    <t>Faire des tests, noter les résultats et partage de qlq prompts testés</t>
  </si>
  <si>
    <t>Atelier 2 – Générer un visuel lié à son activité</t>
  </si>
  <si>
    <t>Comprendre et expérimenter la génération d’images IA pour un usage pro.</t>
  </si>
  <si>
    <t>Présentation du prompting image, génération de visuels via outil gratuit + amélioration jusqu'à obtention d'un visuel satisfaisant.
Possiblité de s'aider entre apprenants</t>
  </si>
  <si>
    <t>Création d’un visuel utile via une IA générative.
Chaque participant choisi un visuel utile pour son activité (post instagram, bannière, illustration conceptuelle; je pense à un jardinier qui demande une idée d'aménagement de jardin par exemple.)</t>
  </si>
  <si>
    <t>Exploration assistée sur IA générative d’image</t>
  </si>
  <si>
    <t>Atelier 3 – Optimiser l’administratif avec l’IA</t>
  </si>
  <si>
    <t>Utiliser l’IA pour accélérer ou automatiser des tâches administratives récurrentes et chronophage</t>
  </si>
  <si>
    <t>Présentation de cas concrets (emails, devis, contrats, reformulations), démonstrations, tests de prompts guidés.</t>
  </si>
  <si>
    <t>Choix d’une tâche réelle, rédaction d’un prompt adapté, test sur un outil IA, sauvegarde pour réutilisation.</t>
  </si>
  <si>
    <t>Exemples concrets + tests guidés sur outil + support à compléter</t>
  </si>
  <si>
    <t>Clôture et feuille de route</t>
  </si>
  <si>
    <t>Ancrer les apprentissages et favoriser la mise en pratique à court terme.</t>
  </si>
  <si>
    <t>Plan d’action personnel, fiche récapitulative, temps d’échange libre</t>
  </si>
  <si>
    <t>Élaboration d’un plan d’action concret à 7 jours</t>
  </si>
  <si>
    <t>Fiche pratique + échanges oraux</t>
  </si>
  <si>
    <t>Vidéo – Ce qui arrive dans l’IA en 2025</t>
  </si>
  <si>
    <t>Donner des perspectives sur les évolutions futures de l’IA utiles aux entrepreneur·es.</t>
  </si>
  <si>
    <t>Vidéo commentée avec diapos : nouvelles tendances, IA embarquée, évolutions juridiques, cas d'usage à surveiller.</t>
  </si>
  <si>
    <t>Regarder la vidéo et noter 1 idée à explorer pour son activité.</t>
  </si>
  <si>
    <t>Vidéo + support visuel</t>
  </si>
  <si>
    <t>Ressources complémentaires</t>
  </si>
  <si>
    <t>Orienter les participant·es vers des ressources fiables pour continuer à se former.</t>
  </si>
  <si>
    <t>Liste de 5 ressources sélectionnées : outils IA gratuits, newsletters, chaînes YouTube, blogs d’entrepreneurs IA-friendly.</t>
  </si>
  <si>
    <t>Explorer les ressources proposées et en choisir une à suivre régulièrement.</t>
  </si>
  <si>
    <t>Texte structuré avec liens et recommandations</t>
  </si>
  <si>
    <t>5 usages malins de l’IA que peu d’entrepreneur·es exploitent</t>
  </si>
  <si>
    <t>Ouvrir de nouvelles perspectives d’usage et déclencher l’envie d’explorer d’autres applications concrètes de l’IA.</t>
  </si>
  <si>
    <t>Vidéo courte ou diapo animée avec exemples de prompts</t>
  </si>
  <si>
    <t>Regarder la séquence et identifier spontanément une idée qu’on pourrait expérimenter plus tard.</t>
  </si>
  <si>
    <t>Pour aller plus loin</t>
  </si>
  <si>
    <t>Capsule vidéo ou diaporama animé présentant quelques exemples surprenants et faciles à tester (argumentaire, checklists, simulateur jeu de rôle (chat bot), résumé, scripts).</t>
  </si>
  <si>
    <t>Chacun réfléchit à une activité</t>
  </si>
  <si>
    <t>Je démontre, grâce à un exemple simple, comment l'IA peut aider dans une activité. Et Chacun reflechi rapidement à une idée d'usage de l'IA dans son activité d'entrepreneur</t>
  </si>
  <si>
    <t>Vidéo</t>
  </si>
  <si>
    <t>Comprendre l'utilité de l'I.A pour un entrepreneur (Compta ou soit métier manuel ++)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</si>
</sst>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\ &quot;mins&quot;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top"/>
    </xf>
    <xf numFmtId="164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vertical="center" wrapText="1"/>
    </xf>
  </cellXfs>
  <cellStyles count="1">
    <cellStyle name="Normal" xfId="0" builtinId="0"/>
  </cellStyles>
  <dxfs count="18">
    <dxf>
      <numFmt numFmtId="164" formatCode="##\ &quot;mins&quot;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>
          <bgColor theme="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bgColor theme="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2" defaultTableStyle="TableStyleMedium2" defaultPivotStyle="PivotStyleLight16">
    <tableStyle name="Style de tableau 1" pivot="0" count="1" xr9:uid="{C9DE1FFD-7A87-4A16-9D46-F45DC8CB1063}">
      <tableStyleElement type="headerRow" dxfId="17"/>
    </tableStyle>
    <tableStyle name="Style de tableau 2" pivot="0" count="1" xr9:uid="{485C8F5F-D52B-430C-9A53-834467A4B8B3}">
      <tableStyleElement type="headerRow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37F51285-BD20-4231-85BA-9D354CA159D4}" autoFormatId="16" applyNumberFormats="0" applyBorderFormats="0" applyFontFormats="0" applyPatternFormats="0" applyAlignmentFormats="0" applyWidthHeightFormats="0">
  <queryTableRefresh nextId="11">
    <queryTableFields count="7">
      <queryTableField id="1" name="Numéro de la partie" tableColumnId="1"/>
      <queryTableField id="2" name="Titre de la séquence" tableColumnId="2"/>
      <queryTableField id="3" name="Objectif pédagogique" tableColumnId="3"/>
      <queryTableField id="4" name="Contenu proposé" tableColumnId="4"/>
      <queryTableField id="5" name="Activité apprenant" tableColumnId="5"/>
      <queryTableField id="6" name="Format" tableColumnId="6"/>
      <queryTableField id="7" name="Durée estimé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2C12BA5-E6AF-4545-BDAF-BD1905679005}" autoFormatId="16" applyNumberFormats="0" applyBorderFormats="0" applyFontFormats="0" applyPatternFormats="0" applyAlignmentFormats="0" applyWidthHeightFormats="0">
  <queryTableRefresh nextId="9">
    <queryTableFields count="7">
      <queryTableField id="1" name="Numéro de la partie" tableColumnId="1"/>
      <queryTableField id="2" name="Titre de la séquence" tableColumnId="2"/>
      <queryTableField id="3" name="Objectif pédagogique" tableColumnId="3"/>
      <queryTableField id="4" name="Contenu proposé" tableColumnId="4"/>
      <queryTableField id="5" name="Activité apprenant" tableColumnId="5"/>
      <queryTableField id="6" name="Format" tableColumnId="6"/>
      <queryTableField id="7" name="Durée estimé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9E25E-15D3-4EA5-9C38-5FC26374FA74}" name="Programme_Pr_sentiel___IA___Entrepreneur" displayName="Programme_Pr_sentiel___IA___Entrepreneur" ref="A1:G8" tableType="queryTable" totalsRowShown="0" headerRowDxfId="15" dataDxfId="14">
  <autoFilter ref="A1:G8" xr:uid="{4D89E25E-15D3-4EA5-9C38-5FC26374FA74}"/>
  <tableColumns count="7">
    <tableColumn id="1" xr3:uid="{C6702A28-930C-4617-8BB4-246BF248CE75}" uniqueName="1" name="Numéro de la partie" queryTableFieldId="1" dataDxfId="13"/>
    <tableColumn id="2" xr3:uid="{CF8140A9-CBC2-4955-9326-2AF2947EBF08}" uniqueName="2" name="Titre de la séquence" queryTableFieldId="2" dataDxfId="12"/>
    <tableColumn id="3" xr3:uid="{D0A3520A-C155-4DE9-BFA9-7796A75565F4}" uniqueName="3" name="Objectif pédagogique" queryTableFieldId="3" dataDxfId="11"/>
    <tableColumn id="4" xr3:uid="{225373EC-2970-4E29-B019-1C212323BDD5}" uniqueName="4" name="Contenu proposé" queryTableFieldId="4" dataDxfId="10"/>
    <tableColumn id="5" xr3:uid="{676364DA-D382-42AE-ACBE-4CDFCEBCC437}" uniqueName="5" name="Activité apprenant" queryTableFieldId="5" dataDxfId="9"/>
    <tableColumn id="6" xr3:uid="{C5C0465A-6367-4F96-A834-CAF7471395FA}" uniqueName="6" name="Format" queryTableFieldId="6" dataDxfId="8"/>
    <tableColumn id="7" xr3:uid="{C82E4EF5-95E5-41EF-B157-AE756407A33D}" uniqueName="7" name="Durée estimée" queryTableFieldId="7" dataDxfId="7"/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EF7D95-7B29-4B56-BF3A-38D214658B1C}" name="E_learning___Pour_aller_plus_loin__20_min_" displayName="E_learning___Pour_aller_plus_loin__20_min_" ref="A1:G4" tableType="queryTable" totalsRowShown="0">
  <autoFilter ref="A1:G4" xr:uid="{0DEF7D95-7B29-4B56-BF3A-38D214658B1C}"/>
  <tableColumns count="7">
    <tableColumn id="1" xr3:uid="{202EA7C1-40A3-43AD-A5ED-3F1B63F1EC5F}" uniqueName="1" name="Numéro de la partie" queryTableFieldId="1" dataDxfId="6"/>
    <tableColumn id="2" xr3:uid="{41FD6C75-D870-4ECC-9E66-8B1A6A09D446}" uniqueName="2" name="Titre de la séquence" queryTableFieldId="2" dataDxfId="5"/>
    <tableColumn id="3" xr3:uid="{5E90EF88-A0AD-488C-B523-2FA868B4B9DC}" uniqueName="3" name="Objectif pédagogique" queryTableFieldId="3" dataDxfId="4"/>
    <tableColumn id="4" xr3:uid="{24697869-0FB0-4970-BBB4-5A9BE8945BD2}" uniqueName="4" name="Contenu proposé" queryTableFieldId="4" dataDxfId="3"/>
    <tableColumn id="5" xr3:uid="{8142DE85-9FC9-46EF-A607-5B636C9EFC84}" uniqueName="5" name="Activité apprenant" queryTableFieldId="5" dataDxfId="2"/>
    <tableColumn id="6" xr3:uid="{9B9F1680-945A-4717-9EBA-3F17245188DF}" uniqueName="6" name="Format" queryTableFieldId="6" dataDxfId="1"/>
    <tableColumn id="7" xr3:uid="{C0CF6918-FCDA-47B1-A2D0-CE073FDAA1B3}" uniqueName="7" name="Durée estimée" queryTableFieldId="7" dataDxfId="0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578D-1878-4F4F-B2F6-21C04C11FBDE}">
  <dimension ref="A1:H31"/>
  <sheetViews>
    <sheetView tabSelected="1" zoomScale="97" zoomScaleNormal="90" workbookViewId="0">
      <pane ySplit="1" topLeftCell="A2" activePane="bottomLeft" state="frozen"/>
      <selection pane="bottomLeft" activeCell="D31" sqref="D31"/>
    </sheetView>
  </sheetViews>
  <sheetFormatPr baseColWidth="10" defaultRowHeight="15" x14ac:dyDescent="0.25"/>
  <cols>
    <col min="1" max="1" width="35.140625" customWidth="1"/>
    <col min="2" max="2" width="46.5703125" customWidth="1"/>
    <col min="3" max="3" width="68.85546875" customWidth="1"/>
    <col min="4" max="4" width="51" customWidth="1"/>
    <col min="5" max="5" width="29.28515625" customWidth="1"/>
    <col min="6" max="6" width="31.140625" customWidth="1"/>
    <col min="7" max="7" width="14.28515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>
        <v>0</v>
      </c>
      <c r="B2" s="6" t="s">
        <v>89</v>
      </c>
      <c r="C2" s="6" t="s">
        <v>10</v>
      </c>
      <c r="D2" s="6" t="s">
        <v>9</v>
      </c>
      <c r="E2" s="6" t="s">
        <v>7</v>
      </c>
      <c r="F2" s="6" t="s">
        <v>8</v>
      </c>
      <c r="G2" s="1">
        <v>10</v>
      </c>
      <c r="H2" s="1">
        <f>SUM(G2:G31)</f>
        <v>160</v>
      </c>
    </row>
    <row r="3" spans="1:8" ht="18.95" customHeight="1" x14ac:dyDescent="0.25"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1">
        <v>10</v>
      </c>
    </row>
    <row r="4" spans="1:8" ht="18.95" customHeight="1" x14ac:dyDescent="0.25"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1">
        <v>3</v>
      </c>
    </row>
    <row r="5" spans="1:8" ht="18.95" customHeight="1" x14ac:dyDescent="0.25"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  <c r="G5" s="1">
        <v>2</v>
      </c>
    </row>
    <row r="6" spans="1:8" x14ac:dyDescent="0.25">
      <c r="B6" s="6"/>
      <c r="C6" s="6"/>
      <c r="D6" s="6"/>
      <c r="E6" s="6"/>
      <c r="F6" s="6"/>
    </row>
    <row r="7" spans="1:8" x14ac:dyDescent="0.25">
      <c r="A7" t="s">
        <v>26</v>
      </c>
      <c r="B7" s="6"/>
      <c r="C7" s="6"/>
      <c r="D7" s="6"/>
      <c r="E7" s="6"/>
      <c r="F7" s="6"/>
    </row>
    <row r="8" spans="1:8" x14ac:dyDescent="0.25">
      <c r="B8" s="6" t="s">
        <v>27</v>
      </c>
      <c r="C8" s="6" t="s">
        <v>39</v>
      </c>
      <c r="D8" s="6" t="s">
        <v>28</v>
      </c>
      <c r="E8" s="6" t="s">
        <v>29</v>
      </c>
      <c r="F8" s="6" t="s">
        <v>30</v>
      </c>
      <c r="G8" s="1">
        <v>10</v>
      </c>
      <c r="H8" t="s">
        <v>87</v>
      </c>
    </row>
    <row r="9" spans="1:8" x14ac:dyDescent="0.25">
      <c r="B9" s="6" t="s">
        <v>37</v>
      </c>
      <c r="C9" s="6" t="s">
        <v>38</v>
      </c>
      <c r="D9" s="6" t="s">
        <v>40</v>
      </c>
      <c r="E9" s="6" t="s">
        <v>41</v>
      </c>
      <c r="F9" s="6" t="s">
        <v>42</v>
      </c>
      <c r="G9" s="1">
        <v>5</v>
      </c>
    </row>
    <row r="10" spans="1:8" x14ac:dyDescent="0.25">
      <c r="B10" s="6" t="s">
        <v>31</v>
      </c>
      <c r="C10" s="6" t="s">
        <v>32</v>
      </c>
      <c r="D10" s="6" t="s">
        <v>33</v>
      </c>
      <c r="E10" s="6" t="s">
        <v>34</v>
      </c>
      <c r="F10" s="6" t="s">
        <v>35</v>
      </c>
      <c r="G10" s="1">
        <v>5</v>
      </c>
    </row>
    <row r="11" spans="1:8" ht="30" x14ac:dyDescent="0.25">
      <c r="B11" s="6" t="s">
        <v>36</v>
      </c>
      <c r="C11" s="6" t="s">
        <v>144</v>
      </c>
      <c r="D11" s="6" t="s">
        <v>43</v>
      </c>
      <c r="E11" s="6" t="s">
        <v>29</v>
      </c>
      <c r="F11" s="6" t="s">
        <v>44</v>
      </c>
      <c r="G11" s="1">
        <v>15</v>
      </c>
      <c r="H11" t="s">
        <v>88</v>
      </c>
    </row>
    <row r="12" spans="1:8" x14ac:dyDescent="0.25">
      <c r="B12" s="6" t="s">
        <v>71</v>
      </c>
      <c r="C12" s="6" t="s">
        <v>72</v>
      </c>
      <c r="D12" s="6" t="s">
        <v>25</v>
      </c>
      <c r="E12" s="6" t="s">
        <v>73</v>
      </c>
      <c r="F12" s="6" t="s">
        <v>35</v>
      </c>
      <c r="G12" s="1">
        <v>5</v>
      </c>
    </row>
    <row r="13" spans="1:8" x14ac:dyDescent="0.25">
      <c r="B13" s="6"/>
      <c r="C13" s="6"/>
      <c r="D13" s="6"/>
      <c r="E13" s="6"/>
      <c r="F13" s="6"/>
    </row>
    <row r="14" spans="1:8" x14ac:dyDescent="0.25">
      <c r="A14" t="s">
        <v>45</v>
      </c>
      <c r="B14" s="6" t="s">
        <v>57</v>
      </c>
      <c r="C14" s="6" t="s">
        <v>58</v>
      </c>
      <c r="D14" s="6" t="s">
        <v>59</v>
      </c>
      <c r="E14" s="6" t="s">
        <v>59</v>
      </c>
      <c r="F14" s="6" t="s">
        <v>60</v>
      </c>
      <c r="G14" s="1">
        <v>10</v>
      </c>
    </row>
    <row r="15" spans="1:8" x14ac:dyDescent="0.25">
      <c r="B15" s="6" t="s">
        <v>46</v>
      </c>
      <c r="C15" s="6" t="s">
        <v>47</v>
      </c>
      <c r="D15" s="6" t="s">
        <v>23</v>
      </c>
      <c r="E15" s="6" t="s">
        <v>25</v>
      </c>
      <c r="F15" s="6" t="s">
        <v>25</v>
      </c>
      <c r="G15" s="1">
        <v>5</v>
      </c>
    </row>
    <row r="16" spans="1:8" x14ac:dyDescent="0.25">
      <c r="B16" s="6" t="s">
        <v>48</v>
      </c>
      <c r="C16" s="6" t="s">
        <v>49</v>
      </c>
      <c r="D16" s="6" t="s">
        <v>50</v>
      </c>
      <c r="E16" s="6" t="s">
        <v>51</v>
      </c>
      <c r="F16" s="6" t="s">
        <v>52</v>
      </c>
      <c r="G16" s="1">
        <v>5</v>
      </c>
    </row>
    <row r="17" spans="1:7" x14ac:dyDescent="0.25">
      <c r="B17" s="6" t="s">
        <v>53</v>
      </c>
      <c r="C17" s="6" t="s">
        <v>54</v>
      </c>
      <c r="D17" s="6" t="s">
        <v>40</v>
      </c>
      <c r="E17" s="6" t="s">
        <v>55</v>
      </c>
      <c r="F17" s="6" t="s">
        <v>56</v>
      </c>
      <c r="G17" s="1">
        <v>5</v>
      </c>
    </row>
    <row r="18" spans="1:7" x14ac:dyDescent="0.25">
      <c r="B18" s="6" t="s">
        <v>71</v>
      </c>
      <c r="C18" s="6" t="s">
        <v>72</v>
      </c>
      <c r="D18" s="6" t="s">
        <v>25</v>
      </c>
      <c r="E18" s="6" t="s">
        <v>73</v>
      </c>
      <c r="F18" s="6" t="s">
        <v>35</v>
      </c>
      <c r="G18" s="1">
        <v>5</v>
      </c>
    </row>
    <row r="19" spans="1:7" x14ac:dyDescent="0.25">
      <c r="B19" s="6"/>
      <c r="C19" s="6"/>
      <c r="D19" s="6"/>
      <c r="E19" s="6"/>
      <c r="F19" s="6"/>
    </row>
    <row r="20" spans="1:7" ht="30" x14ac:dyDescent="0.25">
      <c r="A20" t="s">
        <v>85</v>
      </c>
      <c r="B20" s="6" t="s">
        <v>74</v>
      </c>
      <c r="C20" s="6" t="s">
        <v>75</v>
      </c>
      <c r="D20" s="6" t="s">
        <v>61</v>
      </c>
      <c r="E20" s="6" t="s">
        <v>62</v>
      </c>
      <c r="F20" s="6" t="s">
        <v>63</v>
      </c>
      <c r="G20" s="1">
        <v>5</v>
      </c>
    </row>
    <row r="21" spans="1:7" ht="30" x14ac:dyDescent="0.25">
      <c r="B21" s="6" t="s">
        <v>76</v>
      </c>
      <c r="C21" s="6" t="s">
        <v>77</v>
      </c>
      <c r="D21" s="6" t="s">
        <v>61</v>
      </c>
      <c r="E21" s="6" t="s">
        <v>62</v>
      </c>
      <c r="F21" s="6" t="s">
        <v>63</v>
      </c>
      <c r="G21" s="1">
        <v>5</v>
      </c>
    </row>
    <row r="22" spans="1:7" ht="30" x14ac:dyDescent="0.25">
      <c r="B22" s="6" t="s">
        <v>78</v>
      </c>
      <c r="C22" s="6" t="s">
        <v>79</v>
      </c>
      <c r="D22" s="6" t="s">
        <v>61</v>
      </c>
      <c r="E22" s="6" t="s">
        <v>62</v>
      </c>
      <c r="F22" s="6" t="s">
        <v>63</v>
      </c>
      <c r="G22" s="1">
        <v>5</v>
      </c>
    </row>
    <row r="23" spans="1:7" x14ac:dyDescent="0.25">
      <c r="B23" s="6" t="s">
        <v>80</v>
      </c>
      <c r="C23" s="6" t="s">
        <v>81</v>
      </c>
      <c r="D23" s="6" t="s">
        <v>82</v>
      </c>
      <c r="E23" s="6" t="s">
        <v>83</v>
      </c>
      <c r="F23" s="6" t="s">
        <v>84</v>
      </c>
      <c r="G23" s="1">
        <v>5</v>
      </c>
    </row>
    <row r="24" spans="1:7" x14ac:dyDescent="0.25">
      <c r="B24" s="6" t="s">
        <v>71</v>
      </c>
      <c r="C24" s="6" t="s">
        <v>72</v>
      </c>
      <c r="D24" s="6" t="s">
        <v>25</v>
      </c>
      <c r="E24" s="6" t="s">
        <v>73</v>
      </c>
      <c r="F24" s="6" t="s">
        <v>35</v>
      </c>
      <c r="G24" s="1">
        <v>5</v>
      </c>
    </row>
    <row r="25" spans="1:7" x14ac:dyDescent="0.25">
      <c r="B25" s="6"/>
      <c r="C25" s="6"/>
      <c r="D25" s="6"/>
      <c r="E25" s="6"/>
      <c r="F25" s="6"/>
    </row>
    <row r="26" spans="1:7" x14ac:dyDescent="0.25">
      <c r="A26" t="s">
        <v>86</v>
      </c>
      <c r="B26" s="6" t="s">
        <v>64</v>
      </c>
      <c r="C26" s="6" t="s">
        <v>65</v>
      </c>
      <c r="D26" s="6" t="s">
        <v>40</v>
      </c>
      <c r="E26" s="6" t="s">
        <v>50</v>
      </c>
      <c r="F26" s="6" t="s">
        <v>66</v>
      </c>
      <c r="G26" s="1">
        <v>10</v>
      </c>
    </row>
    <row r="27" spans="1:7" x14ac:dyDescent="0.25">
      <c r="B27" s="6"/>
      <c r="C27" s="6" t="s">
        <v>67</v>
      </c>
      <c r="D27" s="6" t="s">
        <v>68</v>
      </c>
      <c r="E27" s="6" t="s">
        <v>68</v>
      </c>
      <c r="F27" s="6" t="s">
        <v>66</v>
      </c>
      <c r="G27" s="1">
        <v>10</v>
      </c>
    </row>
    <row r="28" spans="1:7" x14ac:dyDescent="0.25">
      <c r="B28" s="6"/>
      <c r="C28" s="6" t="s">
        <v>69</v>
      </c>
      <c r="D28" s="6" t="s">
        <v>70</v>
      </c>
      <c r="E28" s="6" t="s">
        <v>70</v>
      </c>
      <c r="F28" s="6" t="s">
        <v>66</v>
      </c>
      <c r="G28" s="1">
        <v>5</v>
      </c>
    </row>
    <row r="29" spans="1:7" x14ac:dyDescent="0.25">
      <c r="B29" s="6" t="s">
        <v>71</v>
      </c>
      <c r="C29" s="6" t="s">
        <v>72</v>
      </c>
      <c r="D29" s="6" t="s">
        <v>25</v>
      </c>
      <c r="E29" s="6" t="s">
        <v>73</v>
      </c>
      <c r="F29" s="6" t="s">
        <v>35</v>
      </c>
      <c r="G29" s="1">
        <v>5</v>
      </c>
    </row>
    <row r="30" spans="1:7" x14ac:dyDescent="0.25">
      <c r="B30" s="6"/>
      <c r="C30" s="6"/>
      <c r="D30" s="6"/>
      <c r="E30" s="6"/>
      <c r="F30" s="6"/>
    </row>
    <row r="31" spans="1:7" ht="45" customHeight="1" x14ac:dyDescent="0.25">
      <c r="A31" s="10" t="s">
        <v>90</v>
      </c>
      <c r="B31" s="6" t="s">
        <v>91</v>
      </c>
      <c r="C31" s="6" t="s">
        <v>92</v>
      </c>
      <c r="D31" s="6" t="s">
        <v>142</v>
      </c>
      <c r="E31" s="6" t="s">
        <v>141</v>
      </c>
      <c r="F31" s="6" t="s">
        <v>143</v>
      </c>
      <c r="G31" s="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C12E-7232-48FC-ACDB-2DA103F23877}">
  <dimension ref="A1:H8"/>
  <sheetViews>
    <sheetView topLeftCell="D1" workbookViewId="0">
      <selection activeCell="J5" sqref="J5"/>
    </sheetView>
  </sheetViews>
  <sheetFormatPr baseColWidth="10" defaultRowHeight="15" x14ac:dyDescent="0.25"/>
  <cols>
    <col min="1" max="1" width="10.28515625" customWidth="1"/>
    <col min="2" max="2" width="48.28515625" bestFit="1" customWidth="1"/>
    <col min="3" max="3" width="68.85546875" bestFit="1" customWidth="1"/>
    <col min="4" max="4" width="64.85546875" bestFit="1" customWidth="1"/>
    <col min="5" max="5" width="56" bestFit="1" customWidth="1"/>
    <col min="6" max="6" width="42" bestFit="1" customWidth="1"/>
    <col min="7" max="7" width="16.7109375" bestFit="1" customWidth="1"/>
  </cols>
  <sheetData>
    <row r="1" spans="1:8" s="4" customFormat="1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8" ht="45" x14ac:dyDescent="0.25">
      <c r="A2" s="5" t="s">
        <v>93</v>
      </c>
      <c r="B2" s="5" t="s">
        <v>94</v>
      </c>
      <c r="C2" s="5" t="s">
        <v>95</v>
      </c>
      <c r="D2" s="6" t="s">
        <v>96</v>
      </c>
      <c r="E2" s="5" t="s">
        <v>97</v>
      </c>
      <c r="F2" s="5" t="s">
        <v>98</v>
      </c>
      <c r="G2" s="7">
        <v>30</v>
      </c>
    </row>
    <row r="3" spans="1:8" ht="30" x14ac:dyDescent="0.25">
      <c r="A3" s="5"/>
      <c r="B3" s="5" t="s">
        <v>99</v>
      </c>
      <c r="C3" s="5" t="s">
        <v>100</v>
      </c>
      <c r="D3" s="6" t="s">
        <v>101</v>
      </c>
      <c r="E3" s="5" t="s">
        <v>102</v>
      </c>
      <c r="F3" s="5" t="s">
        <v>103</v>
      </c>
      <c r="G3" s="7">
        <v>15</v>
      </c>
    </row>
    <row r="4" spans="1:8" ht="30" x14ac:dyDescent="0.25">
      <c r="A4" s="5" t="s">
        <v>104</v>
      </c>
      <c r="B4" s="5" t="s">
        <v>105</v>
      </c>
      <c r="C4" s="5" t="s">
        <v>106</v>
      </c>
      <c r="D4" s="5" t="s">
        <v>107</v>
      </c>
      <c r="E4" s="6" t="s">
        <v>108</v>
      </c>
      <c r="F4" s="5" t="s">
        <v>109</v>
      </c>
      <c r="G4" s="7">
        <v>30</v>
      </c>
    </row>
    <row r="5" spans="1:8" ht="75" x14ac:dyDescent="0.25">
      <c r="A5" s="5" t="s">
        <v>104</v>
      </c>
      <c r="B5" s="5" t="s">
        <v>110</v>
      </c>
      <c r="C5" s="5" t="s">
        <v>111</v>
      </c>
      <c r="D5" s="6" t="s">
        <v>112</v>
      </c>
      <c r="E5" s="6" t="s">
        <v>113</v>
      </c>
      <c r="F5" s="5" t="s">
        <v>114</v>
      </c>
      <c r="G5" s="7">
        <v>30</v>
      </c>
    </row>
    <row r="6" spans="1:8" ht="30" x14ac:dyDescent="0.25">
      <c r="A6" s="5" t="s">
        <v>104</v>
      </c>
      <c r="B6" s="5" t="s">
        <v>115</v>
      </c>
      <c r="C6" s="8" t="s">
        <v>116</v>
      </c>
      <c r="D6" s="8" t="s">
        <v>117</v>
      </c>
      <c r="E6" s="6" t="s">
        <v>118</v>
      </c>
      <c r="F6" s="6" t="s">
        <v>119</v>
      </c>
      <c r="G6" s="7">
        <v>55</v>
      </c>
    </row>
    <row r="7" spans="1:8" x14ac:dyDescent="0.25">
      <c r="A7" s="5" t="s">
        <v>104</v>
      </c>
      <c r="B7" s="5" t="s">
        <v>120</v>
      </c>
      <c r="C7" s="5" t="s">
        <v>121</v>
      </c>
      <c r="D7" s="5" t="s">
        <v>122</v>
      </c>
      <c r="E7" s="5" t="s">
        <v>123</v>
      </c>
      <c r="F7" s="5" t="s">
        <v>124</v>
      </c>
      <c r="G7" s="7">
        <v>20</v>
      </c>
    </row>
    <row r="8" spans="1:8" x14ac:dyDescent="0.25">
      <c r="A8" t="s">
        <v>104</v>
      </c>
      <c r="B8" t="s">
        <v>104</v>
      </c>
      <c r="C8" t="s">
        <v>104</v>
      </c>
      <c r="D8" t="s">
        <v>104</v>
      </c>
      <c r="E8" t="s">
        <v>104</v>
      </c>
      <c r="F8" t="s">
        <v>104</v>
      </c>
      <c r="H8" s="11">
        <f>SUM(G2:G7)</f>
        <v>180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B5AA-C5F5-4166-8DE4-6D7C4A23BE44}">
  <dimension ref="A1:H5"/>
  <sheetViews>
    <sheetView topLeftCell="C1" workbookViewId="0">
      <selection activeCell="E17" sqref="E17"/>
    </sheetView>
  </sheetViews>
  <sheetFormatPr baseColWidth="10" defaultRowHeight="15" x14ac:dyDescent="0.25"/>
  <cols>
    <col min="1" max="1" width="26.42578125" bestFit="1" customWidth="1"/>
    <col min="2" max="2" width="34.28515625" bestFit="1" customWidth="1"/>
    <col min="3" max="4" width="81.140625" bestFit="1" customWidth="1"/>
    <col min="5" max="5" width="67.85546875" bestFit="1" customWidth="1"/>
    <col min="6" max="6" width="42.42578125" bestFit="1" customWidth="1"/>
    <col min="7" max="7" width="16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32.1" customHeight="1" x14ac:dyDescent="0.25">
      <c r="A2" t="s">
        <v>139</v>
      </c>
      <c r="B2" s="8" t="s">
        <v>125</v>
      </c>
      <c r="C2" s="8" t="s">
        <v>126</v>
      </c>
      <c r="D2" s="8" t="s">
        <v>127</v>
      </c>
      <c r="E2" s="8" t="s">
        <v>128</v>
      </c>
      <c r="F2" s="8" t="s">
        <v>129</v>
      </c>
      <c r="G2" s="9">
        <v>10</v>
      </c>
    </row>
    <row r="3" spans="1:8" ht="32.1" customHeight="1" x14ac:dyDescent="0.25">
      <c r="B3" s="8" t="s">
        <v>135</v>
      </c>
      <c r="C3" s="8" t="s">
        <v>136</v>
      </c>
      <c r="D3" s="8" t="s">
        <v>140</v>
      </c>
      <c r="E3" s="8" t="s">
        <v>138</v>
      </c>
      <c r="F3" s="8" t="s">
        <v>137</v>
      </c>
      <c r="G3" s="9">
        <v>5</v>
      </c>
    </row>
    <row r="4" spans="1:8" ht="32.1" customHeight="1" x14ac:dyDescent="0.25">
      <c r="A4" t="s">
        <v>104</v>
      </c>
      <c r="B4" s="8" t="s">
        <v>130</v>
      </c>
      <c r="C4" s="8" t="s">
        <v>131</v>
      </c>
      <c r="D4" s="8" t="s">
        <v>132</v>
      </c>
      <c r="E4" s="8" t="s">
        <v>133</v>
      </c>
      <c r="F4" s="8" t="s">
        <v>134</v>
      </c>
      <c r="G4" s="9">
        <v>5</v>
      </c>
    </row>
    <row r="5" spans="1:8" x14ac:dyDescent="0.25">
      <c r="E5" s="8"/>
      <c r="H5" s="12">
        <f>SUM(E_learning___Pour_aller_plus_loin__20_min_[Durée estimée])</f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5149A-2ED5-4778-A10B-FE44CB3DF6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E-learning 1</vt:lpstr>
      <vt:lpstr>Presentiel</vt:lpstr>
      <vt:lpstr>E-learning 2</vt:lpstr>
    </vt:vector>
  </TitlesOfParts>
  <Company>efp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Azeroual</dc:creator>
  <cp:lastModifiedBy>Zahra Mzoudi</cp:lastModifiedBy>
  <dcterms:created xsi:type="dcterms:W3CDTF">2025-05-05T11:57:35Z</dcterms:created>
  <dcterms:modified xsi:type="dcterms:W3CDTF">2025-05-14T20:36:56Z</dcterms:modified>
</cp:coreProperties>
</file>